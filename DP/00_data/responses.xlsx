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8" windowWidth="15120" windowHeight="8016"/>
  </bookViews>
  <sheets>
    <sheet name="BERT" sheetId="2" r:id="rId1"/>
    <sheet name="CLIP" sheetId="3" r:id="rId2"/>
  </sheets>
  <calcPr calcId="125725"/>
</workbook>
</file>

<file path=xl/calcChain.xml><?xml version="1.0" encoding="utf-8"?>
<calcChain xmlns="http://schemas.openxmlformats.org/spreadsheetml/2006/main">
  <c r="O31" i="3"/>
  <c r="N31"/>
  <c r="M31"/>
  <c r="L31"/>
  <c r="K31"/>
  <c r="J31"/>
  <c r="I31"/>
  <c r="H31"/>
  <c r="G31"/>
  <c r="F31"/>
  <c r="E31"/>
  <c r="D31"/>
  <c r="O18"/>
  <c r="N18"/>
  <c r="M18"/>
  <c r="L18"/>
  <c r="K18"/>
  <c r="J18"/>
  <c r="I18"/>
  <c r="H18"/>
  <c r="G18"/>
  <c r="F18"/>
  <c r="E18"/>
  <c r="D18"/>
  <c r="T37"/>
  <c r="T36"/>
  <c r="T35"/>
  <c r="T34"/>
  <c r="T33"/>
  <c r="T32"/>
  <c r="D5"/>
  <c r="E5"/>
  <c r="F5"/>
  <c r="G5"/>
  <c r="H5"/>
  <c r="I5"/>
  <c r="J5"/>
  <c r="K5"/>
  <c r="L5"/>
  <c r="M5"/>
  <c r="N5"/>
  <c r="O5"/>
  <c r="T6"/>
  <c r="T7"/>
  <c r="T8"/>
  <c r="T9"/>
  <c r="T10"/>
  <c r="T11"/>
  <c r="T24"/>
  <c r="T23"/>
  <c r="T22"/>
  <c r="T21"/>
  <c r="T20"/>
  <c r="T19"/>
  <c r="S32" i="2"/>
  <c r="S33"/>
  <c r="S34"/>
  <c r="S35"/>
  <c r="S36"/>
  <c r="S31"/>
  <c r="S20"/>
  <c r="S21"/>
  <c r="S22"/>
  <c r="S23"/>
  <c r="S24"/>
  <c r="S19"/>
  <c r="S7"/>
  <c r="S8"/>
  <c r="S9"/>
  <c r="S10"/>
  <c r="S11"/>
  <c r="S12"/>
</calcChain>
</file>

<file path=xl/sharedStrings.xml><?xml version="1.0" encoding="utf-8"?>
<sst xmlns="http://schemas.openxmlformats.org/spreadsheetml/2006/main" count="96" uniqueCount="21">
  <si>
    <t>best</t>
  </si>
  <si>
    <t>second</t>
  </si>
  <si>
    <t>least</t>
  </si>
  <si>
    <t>Attention</t>
  </si>
  <si>
    <t>Occlusion</t>
  </si>
  <si>
    <t>LIME</t>
  </si>
  <si>
    <t>SHAP</t>
  </si>
  <si>
    <t>IG</t>
  </si>
  <si>
    <t>M1</t>
  </si>
  <si>
    <t>M2</t>
  </si>
  <si>
    <t>M3</t>
  </si>
  <si>
    <t>M4</t>
  </si>
  <si>
    <t>M5</t>
  </si>
  <si>
    <t>M6</t>
  </si>
  <si>
    <t>covariate_complexity</t>
  </si>
  <si>
    <t>compactness</t>
  </si>
  <si>
    <t>composition</t>
  </si>
  <si>
    <t>context</t>
  </si>
  <si>
    <t>coherence</t>
  </si>
  <si>
    <t>controllability</t>
  </si>
  <si>
    <t>CAM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</si>
</sst>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2" fillId="0" borderId="0" xfId="0" applyFont="1" applyFill="1"/>
    <xf numFmtId="0" fontId="2" fillId="0" borderId="0" xfId="0" applyFont="1"/>
    <xf numFmtId="0" fontId="0" fillId="8" borderId="0" xfId="0" applyFill="1" applyBorder="1"/>
    <xf numFmtId="0" fontId="0" fillId="0" borderId="0" xfId="0" applyFill="1" applyBorder="1"/>
    <xf numFmtId="0" fontId="0" fillId="0" borderId="0" xfId="0" applyFont="1" applyFill="1" applyBorder="1"/>
    <xf numFmtId="0" fontId="0" fillId="8" borderId="1" xfId="0" applyFill="1" applyBorder="1"/>
    <xf numFmtId="0" fontId="2" fillId="8" borderId="0" xfId="0" applyFont="1" applyFill="1" applyBorder="1"/>
    <xf numFmtId="0" fontId="0" fillId="2" borderId="1" xfId="0" applyFill="1" applyBorder="1"/>
    <xf numFmtId="0" fontId="0" fillId="0" borderId="0" xfId="0" applyFont="1" applyFill="1"/>
    <xf numFmtId="0" fontId="0" fillId="2" borderId="0" xfId="0" applyFont="1" applyFill="1"/>
    <xf numFmtId="0" fontId="0" fillId="0" borderId="0" xfId="0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39"/>
  <sheetViews>
    <sheetView tabSelected="1" zoomScale="80" zoomScaleNormal="80" workbookViewId="0">
      <selection activeCell="D30" sqref="D30:R30"/>
    </sheetView>
  </sheetViews>
  <sheetFormatPr defaultRowHeight="14.4"/>
  <cols>
    <col min="2" max="2" width="8" customWidth="1"/>
    <col min="3" max="3" width="19.21875" customWidth="1"/>
  </cols>
  <sheetData>
    <row r="1" spans="1:93">
      <c r="G1" s="2"/>
      <c r="H1" s="2"/>
      <c r="I1" s="22"/>
      <c r="J1" s="2"/>
      <c r="K1" s="2"/>
      <c r="L1" s="2"/>
      <c r="M1" s="2"/>
      <c r="N1" s="2"/>
      <c r="O1" s="2"/>
      <c r="P1" s="2"/>
      <c r="Q1" s="2"/>
      <c r="R1" s="3"/>
      <c r="S1" s="2"/>
      <c r="T1" s="2"/>
    </row>
    <row r="2" spans="1:93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2"/>
      <c r="T2" s="2"/>
    </row>
    <row r="3" spans="1:93">
      <c r="R3" s="1"/>
    </row>
    <row r="5" spans="1:93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</row>
    <row r="6" spans="1:93">
      <c r="B6" s="10" t="s">
        <v>5</v>
      </c>
      <c r="C6" s="11"/>
      <c r="D6" s="11">
        <v>17</v>
      </c>
      <c r="E6" s="11">
        <v>22</v>
      </c>
      <c r="F6" s="11">
        <v>24</v>
      </c>
      <c r="G6" s="11">
        <v>25</v>
      </c>
      <c r="H6" s="11">
        <v>26</v>
      </c>
      <c r="I6" s="11">
        <v>28</v>
      </c>
      <c r="J6" s="11">
        <v>32</v>
      </c>
      <c r="K6" s="11">
        <v>33</v>
      </c>
      <c r="L6" s="11">
        <v>40</v>
      </c>
      <c r="M6" s="14">
        <v>41</v>
      </c>
      <c r="N6" s="11">
        <v>42</v>
      </c>
      <c r="O6" s="11">
        <v>43</v>
      </c>
      <c r="P6" s="11">
        <v>44</v>
      </c>
      <c r="Q6" s="11">
        <v>45</v>
      </c>
      <c r="R6" s="11">
        <v>46</v>
      </c>
    </row>
    <row r="7" spans="1:93" s="7" customFormat="1">
      <c r="A7" s="2"/>
      <c r="B7" s="11" t="s">
        <v>8</v>
      </c>
      <c r="C7" s="11" t="s">
        <v>14</v>
      </c>
      <c r="D7" s="2">
        <v>4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4</v>
      </c>
      <c r="K7" s="2">
        <v>5</v>
      </c>
      <c r="L7" s="2">
        <v>4</v>
      </c>
      <c r="M7" s="16">
        <v>4</v>
      </c>
      <c r="N7" s="16">
        <v>5</v>
      </c>
      <c r="O7" s="16">
        <v>5</v>
      </c>
      <c r="P7" s="16">
        <v>4</v>
      </c>
      <c r="Q7" s="16">
        <v>3</v>
      </c>
      <c r="R7" s="16">
        <v>5</v>
      </c>
      <c r="S7" s="12">
        <f>AVERAGE(D7:R7)</f>
        <v>4.5333333333333332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</row>
    <row r="8" spans="1:93" s="6" customFormat="1">
      <c r="A8" s="2"/>
      <c r="B8" s="11" t="s">
        <v>9</v>
      </c>
      <c r="C8" s="11" t="s">
        <v>15</v>
      </c>
      <c r="D8" s="2">
        <v>5</v>
      </c>
      <c r="E8" s="2">
        <v>5</v>
      </c>
      <c r="F8" s="2">
        <v>3</v>
      </c>
      <c r="G8" s="2">
        <v>4</v>
      </c>
      <c r="H8" s="2">
        <v>5</v>
      </c>
      <c r="I8" s="2">
        <v>5</v>
      </c>
      <c r="J8" s="2">
        <v>4</v>
      </c>
      <c r="K8" s="2">
        <v>5</v>
      </c>
      <c r="L8" s="2">
        <v>4</v>
      </c>
      <c r="M8" s="15">
        <v>5</v>
      </c>
      <c r="N8" s="15">
        <v>5</v>
      </c>
      <c r="O8" s="15">
        <v>5</v>
      </c>
      <c r="P8" s="15">
        <v>4</v>
      </c>
      <c r="Q8" s="15">
        <v>5</v>
      </c>
      <c r="R8" s="15">
        <v>5</v>
      </c>
      <c r="S8" s="2">
        <f t="shared" ref="S8:S12" si="0">AVERAGE(D8:R8)</f>
        <v>4.5999999999999996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</row>
    <row r="9" spans="1:93" s="5" customFormat="1">
      <c r="A9" s="2"/>
      <c r="B9" s="11" t="s">
        <v>10</v>
      </c>
      <c r="C9" s="11" t="s">
        <v>16</v>
      </c>
      <c r="D9" s="2">
        <v>5</v>
      </c>
      <c r="E9" s="2">
        <v>4</v>
      </c>
      <c r="F9" s="2">
        <v>4</v>
      </c>
      <c r="G9" s="2">
        <v>3</v>
      </c>
      <c r="H9" s="2">
        <v>5</v>
      </c>
      <c r="I9" s="2">
        <v>5</v>
      </c>
      <c r="J9" s="2">
        <v>4</v>
      </c>
      <c r="K9" s="2">
        <v>4</v>
      </c>
      <c r="L9" s="2">
        <v>1</v>
      </c>
      <c r="M9" s="15">
        <v>4</v>
      </c>
      <c r="N9" s="15">
        <v>4</v>
      </c>
      <c r="O9" s="15">
        <v>5</v>
      </c>
      <c r="P9" s="15">
        <v>4</v>
      </c>
      <c r="Q9" s="15">
        <v>4</v>
      </c>
      <c r="R9" s="15">
        <v>5</v>
      </c>
      <c r="S9" s="2">
        <f t="shared" si="0"/>
        <v>4.0666666666666664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</row>
    <row r="10" spans="1:93" s="4" customFormat="1">
      <c r="A10" s="2"/>
      <c r="B10" s="11" t="s">
        <v>11</v>
      </c>
      <c r="C10" s="11" t="s">
        <v>17</v>
      </c>
      <c r="D10" s="2">
        <v>5</v>
      </c>
      <c r="E10" s="2">
        <v>5</v>
      </c>
      <c r="F10" s="2">
        <v>4</v>
      </c>
      <c r="G10" s="2">
        <v>3</v>
      </c>
      <c r="H10" s="2">
        <v>4</v>
      </c>
      <c r="I10" s="2">
        <v>5</v>
      </c>
      <c r="J10" s="2">
        <v>4</v>
      </c>
      <c r="K10" s="2">
        <v>5</v>
      </c>
      <c r="L10" s="2">
        <v>5</v>
      </c>
      <c r="M10" s="15">
        <v>5</v>
      </c>
      <c r="N10" s="15">
        <v>5</v>
      </c>
      <c r="O10" s="15">
        <v>5</v>
      </c>
      <c r="P10" s="15">
        <v>5</v>
      </c>
      <c r="Q10" s="15">
        <v>4</v>
      </c>
      <c r="R10" s="15">
        <v>5</v>
      </c>
      <c r="S10" s="2">
        <f t="shared" si="0"/>
        <v>4.5999999999999996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</row>
    <row r="11" spans="1:93" s="8" customFormat="1">
      <c r="A11" s="2"/>
      <c r="B11" s="11" t="s">
        <v>12</v>
      </c>
      <c r="C11" s="11" t="s">
        <v>18</v>
      </c>
      <c r="D11" s="2">
        <v>4</v>
      </c>
      <c r="E11" s="2">
        <v>4</v>
      </c>
      <c r="F11" s="2">
        <v>5</v>
      </c>
      <c r="G11" s="2">
        <v>4</v>
      </c>
      <c r="H11" s="2">
        <v>3</v>
      </c>
      <c r="I11" s="2">
        <v>3</v>
      </c>
      <c r="J11" s="2">
        <v>3</v>
      </c>
      <c r="K11" s="2">
        <v>2</v>
      </c>
      <c r="L11" s="2">
        <v>1</v>
      </c>
      <c r="M11" s="15">
        <v>4</v>
      </c>
      <c r="N11" s="15">
        <v>4</v>
      </c>
      <c r="O11" s="15">
        <v>4</v>
      </c>
      <c r="P11" s="15">
        <v>4</v>
      </c>
      <c r="Q11" s="15">
        <v>3</v>
      </c>
      <c r="R11" s="15">
        <v>2</v>
      </c>
      <c r="S11" s="2">
        <f t="shared" si="0"/>
        <v>3.3333333333333335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</row>
    <row r="12" spans="1:93" s="9" customFormat="1">
      <c r="A12" s="2"/>
      <c r="B12" s="11" t="s">
        <v>13</v>
      </c>
      <c r="C12" s="11" t="s">
        <v>19</v>
      </c>
      <c r="D12" s="2">
        <v>4</v>
      </c>
      <c r="E12" s="2">
        <v>5</v>
      </c>
      <c r="F12" s="2">
        <v>1</v>
      </c>
      <c r="G12" s="2">
        <v>3</v>
      </c>
      <c r="H12" s="2">
        <v>3</v>
      </c>
      <c r="I12" s="2">
        <v>5</v>
      </c>
      <c r="J12" s="2">
        <v>3</v>
      </c>
      <c r="K12" s="2">
        <v>2</v>
      </c>
      <c r="L12" s="2">
        <v>1</v>
      </c>
      <c r="M12" s="15">
        <v>5</v>
      </c>
      <c r="N12" s="15">
        <v>5</v>
      </c>
      <c r="O12" s="15">
        <v>4</v>
      </c>
      <c r="P12" s="15">
        <v>4</v>
      </c>
      <c r="Q12" s="15">
        <v>3</v>
      </c>
      <c r="R12" s="15">
        <v>4</v>
      </c>
      <c r="S12" s="2">
        <f t="shared" si="0"/>
        <v>3.4666666666666668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</row>
    <row r="13" spans="1:93" s="9" customFormat="1">
      <c r="A13" s="2"/>
      <c r="B13" s="17" t="s">
        <v>0</v>
      </c>
      <c r="C13" s="17">
        <v>5</v>
      </c>
      <c r="D13" s="2"/>
      <c r="E13" s="2"/>
      <c r="F13" s="2"/>
      <c r="G13" s="2"/>
      <c r="H13" s="2"/>
      <c r="I13" s="2"/>
      <c r="J13" s="2"/>
      <c r="K13" s="2"/>
      <c r="L13" s="2"/>
      <c r="M13" s="15"/>
      <c r="N13" s="15"/>
      <c r="O13" s="15"/>
      <c r="P13" s="15"/>
      <c r="Q13" s="15"/>
      <c r="R13" s="15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</row>
    <row r="14" spans="1:93" s="9" customFormat="1">
      <c r="A14" s="2"/>
      <c r="B14" s="17" t="s">
        <v>1</v>
      </c>
      <c r="C14" s="17">
        <v>5</v>
      </c>
      <c r="D14" s="2"/>
      <c r="E14" s="2"/>
      <c r="F14" s="2"/>
      <c r="G14" s="2"/>
      <c r="H14" s="2"/>
      <c r="I14" s="2"/>
      <c r="J14" s="2"/>
      <c r="K14" s="2"/>
      <c r="L14" s="2"/>
      <c r="M14" s="15"/>
      <c r="N14" s="15"/>
      <c r="O14" s="15"/>
      <c r="P14" s="15"/>
      <c r="Q14" s="15"/>
      <c r="R14" s="15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</row>
    <row r="15" spans="1:93" s="9" customFormat="1">
      <c r="A15" s="2"/>
      <c r="B15" s="17" t="s">
        <v>2</v>
      </c>
      <c r="C15" s="17">
        <v>5</v>
      </c>
      <c r="D15" s="2"/>
      <c r="E15" s="2"/>
      <c r="F15" s="2"/>
      <c r="G15" s="2"/>
      <c r="H15" s="2"/>
      <c r="I15" s="2"/>
      <c r="J15" s="2"/>
      <c r="K15" s="2"/>
      <c r="L15" s="2"/>
      <c r="M15" s="15"/>
      <c r="N15" s="15"/>
      <c r="O15" s="15"/>
      <c r="P15" s="15"/>
      <c r="Q15" s="15"/>
      <c r="R15" s="15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</row>
    <row r="16" spans="1:93">
      <c r="M16" s="15"/>
    </row>
    <row r="17" spans="2:19">
      <c r="M17" s="15"/>
    </row>
    <row r="18" spans="2:19">
      <c r="B18" s="10" t="s">
        <v>6</v>
      </c>
      <c r="C18" s="11"/>
      <c r="D18" s="11">
        <v>17</v>
      </c>
      <c r="E18" s="11">
        <v>22</v>
      </c>
      <c r="F18" s="11">
        <v>24</v>
      </c>
      <c r="G18" s="11">
        <v>25</v>
      </c>
      <c r="H18" s="11">
        <v>26</v>
      </c>
      <c r="I18" s="11">
        <v>28</v>
      </c>
      <c r="J18" s="11">
        <v>32</v>
      </c>
      <c r="K18" s="11">
        <v>33</v>
      </c>
      <c r="L18" s="11">
        <v>40</v>
      </c>
      <c r="M18" s="14">
        <v>41</v>
      </c>
      <c r="N18" s="11">
        <v>42</v>
      </c>
      <c r="O18" s="11">
        <v>43</v>
      </c>
      <c r="P18" s="11">
        <v>44</v>
      </c>
      <c r="Q18" s="11">
        <v>45</v>
      </c>
      <c r="R18" s="11">
        <v>46</v>
      </c>
    </row>
    <row r="19" spans="2:19">
      <c r="B19" s="11" t="s">
        <v>8</v>
      </c>
      <c r="C19" s="11" t="s">
        <v>14</v>
      </c>
      <c r="D19" s="2">
        <v>3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4</v>
      </c>
      <c r="K19" s="2">
        <v>5</v>
      </c>
      <c r="L19" s="2">
        <v>5</v>
      </c>
      <c r="M19" s="16">
        <v>3</v>
      </c>
      <c r="N19" s="16">
        <v>4</v>
      </c>
      <c r="O19" s="16">
        <v>4</v>
      </c>
      <c r="P19" s="16">
        <v>5</v>
      </c>
      <c r="Q19" s="16">
        <v>5</v>
      </c>
      <c r="R19" s="16">
        <v>5</v>
      </c>
      <c r="S19" s="13">
        <f>AVERAGE(D19:R19)</f>
        <v>4.5333333333333332</v>
      </c>
    </row>
    <row r="20" spans="2:19">
      <c r="B20" s="11" t="s">
        <v>9</v>
      </c>
      <c r="C20" s="18" t="s">
        <v>15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4</v>
      </c>
      <c r="K20" s="2">
        <v>5</v>
      </c>
      <c r="L20" s="2">
        <v>5</v>
      </c>
      <c r="M20" s="15">
        <v>5</v>
      </c>
      <c r="N20" s="15">
        <v>5</v>
      </c>
      <c r="O20" s="15">
        <v>4</v>
      </c>
      <c r="P20" s="15">
        <v>5</v>
      </c>
      <c r="Q20" s="15">
        <v>5</v>
      </c>
      <c r="R20" s="15">
        <v>5</v>
      </c>
      <c r="S20" s="4">
        <f t="shared" ref="S20:S24" si="1">AVERAGE(D20:R20)</f>
        <v>4.8666666666666663</v>
      </c>
    </row>
    <row r="21" spans="2:19">
      <c r="B21" s="11" t="s">
        <v>10</v>
      </c>
      <c r="C21" s="18" t="s">
        <v>16</v>
      </c>
      <c r="D21" s="2">
        <v>5</v>
      </c>
      <c r="E21" s="2">
        <v>4</v>
      </c>
      <c r="F21" s="2">
        <v>5</v>
      </c>
      <c r="G21" s="2">
        <v>5</v>
      </c>
      <c r="H21" s="2">
        <v>5</v>
      </c>
      <c r="I21" s="2">
        <v>5</v>
      </c>
      <c r="J21" s="2">
        <v>4</v>
      </c>
      <c r="K21" s="2">
        <v>5</v>
      </c>
      <c r="L21" s="2">
        <v>4</v>
      </c>
      <c r="M21" s="15">
        <v>5</v>
      </c>
      <c r="N21" s="15">
        <v>5</v>
      </c>
      <c r="O21" s="15">
        <v>4</v>
      </c>
      <c r="P21" s="15">
        <v>5</v>
      </c>
      <c r="Q21" s="15">
        <v>4</v>
      </c>
      <c r="R21" s="15">
        <v>4</v>
      </c>
      <c r="S21" s="4">
        <f t="shared" si="1"/>
        <v>4.5999999999999996</v>
      </c>
    </row>
    <row r="22" spans="2:19">
      <c r="B22" s="11" t="s">
        <v>11</v>
      </c>
      <c r="C22" s="18" t="s">
        <v>17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4</v>
      </c>
      <c r="K22" s="2">
        <v>5</v>
      </c>
      <c r="L22" s="2">
        <v>5</v>
      </c>
      <c r="M22" s="15">
        <v>5</v>
      </c>
      <c r="N22" s="15">
        <v>5</v>
      </c>
      <c r="O22" s="15">
        <v>5</v>
      </c>
      <c r="P22" s="15">
        <v>5</v>
      </c>
      <c r="Q22" s="15">
        <v>4</v>
      </c>
      <c r="R22" s="15">
        <v>5</v>
      </c>
      <c r="S22" s="4">
        <f t="shared" si="1"/>
        <v>4.8666666666666663</v>
      </c>
    </row>
    <row r="23" spans="2:19">
      <c r="B23" s="11" t="s">
        <v>12</v>
      </c>
      <c r="C23" s="18" t="s">
        <v>18</v>
      </c>
      <c r="D23" s="2">
        <v>3</v>
      </c>
      <c r="E23" s="2">
        <v>5</v>
      </c>
      <c r="F23" s="2">
        <v>5</v>
      </c>
      <c r="G23" s="2">
        <v>5</v>
      </c>
      <c r="H23" s="2">
        <v>4</v>
      </c>
      <c r="I23" s="2">
        <v>3</v>
      </c>
      <c r="J23" s="2">
        <v>2</v>
      </c>
      <c r="K23" s="2">
        <v>4</v>
      </c>
      <c r="L23" s="2">
        <v>5</v>
      </c>
      <c r="M23" s="15">
        <v>5</v>
      </c>
      <c r="N23" s="15">
        <v>5</v>
      </c>
      <c r="O23" s="15">
        <v>5</v>
      </c>
      <c r="P23" s="15">
        <v>5</v>
      </c>
      <c r="Q23" s="15">
        <v>4</v>
      </c>
      <c r="R23" s="15">
        <v>5</v>
      </c>
      <c r="S23" s="4">
        <f t="shared" si="1"/>
        <v>4.333333333333333</v>
      </c>
    </row>
    <row r="24" spans="2:19">
      <c r="B24" s="11" t="s">
        <v>13</v>
      </c>
      <c r="C24" s="18" t="s">
        <v>19</v>
      </c>
      <c r="D24" s="2">
        <v>3</v>
      </c>
      <c r="E24" s="2">
        <v>5</v>
      </c>
      <c r="F24" s="2">
        <v>1</v>
      </c>
      <c r="G24" s="2">
        <v>5</v>
      </c>
      <c r="H24" s="2">
        <v>3</v>
      </c>
      <c r="I24" s="2">
        <v>4</v>
      </c>
      <c r="J24" s="2">
        <v>3</v>
      </c>
      <c r="K24" s="2">
        <v>4</v>
      </c>
      <c r="L24" s="2">
        <v>5</v>
      </c>
      <c r="M24" s="15">
        <v>5</v>
      </c>
      <c r="N24" s="15">
        <v>5</v>
      </c>
      <c r="O24" s="15">
        <v>4</v>
      </c>
      <c r="P24" s="15">
        <v>4</v>
      </c>
      <c r="Q24" s="15">
        <v>4</v>
      </c>
      <c r="R24" s="15">
        <v>4</v>
      </c>
      <c r="S24" s="4">
        <f t="shared" si="1"/>
        <v>3.9333333333333331</v>
      </c>
    </row>
    <row r="25" spans="2:19">
      <c r="B25" s="19" t="s">
        <v>0</v>
      </c>
      <c r="C25" s="19">
        <v>8</v>
      </c>
      <c r="D25" s="2"/>
      <c r="E25" s="2"/>
      <c r="F25" s="2"/>
      <c r="G25" s="2"/>
      <c r="H25" s="2"/>
      <c r="I25" s="2"/>
      <c r="J25" s="2"/>
      <c r="K25" s="2"/>
      <c r="L25" s="2"/>
      <c r="M25" s="15"/>
      <c r="N25" s="15"/>
      <c r="O25" s="15"/>
      <c r="P25" s="15"/>
      <c r="Q25" s="15"/>
      <c r="R25" s="15"/>
    </row>
    <row r="26" spans="2:19">
      <c r="B26" s="17" t="s">
        <v>1</v>
      </c>
      <c r="C26" s="17">
        <v>5</v>
      </c>
      <c r="D26" s="2"/>
      <c r="E26" s="2"/>
      <c r="F26" s="2"/>
      <c r="G26" s="2"/>
      <c r="H26" s="2"/>
      <c r="I26" s="2"/>
      <c r="J26" s="2"/>
      <c r="K26" s="2"/>
      <c r="L26" s="2"/>
      <c r="M26" s="15"/>
      <c r="N26" s="15"/>
      <c r="O26" s="15"/>
      <c r="P26" s="15"/>
      <c r="Q26" s="15"/>
      <c r="R26" s="15"/>
    </row>
    <row r="27" spans="2:19">
      <c r="B27" s="17" t="s">
        <v>2</v>
      </c>
      <c r="C27" s="17">
        <v>2</v>
      </c>
      <c r="D27" s="2"/>
      <c r="E27" s="2"/>
      <c r="F27" s="2"/>
      <c r="G27" s="2"/>
      <c r="H27" s="2"/>
      <c r="I27" s="2"/>
      <c r="J27" s="2"/>
      <c r="K27" s="2"/>
      <c r="L27" s="2"/>
      <c r="M27" s="15"/>
      <c r="N27" s="15"/>
      <c r="O27" s="15"/>
      <c r="P27" s="15"/>
      <c r="Q27" s="15"/>
      <c r="R27" s="15"/>
    </row>
    <row r="28" spans="2:19">
      <c r="M28" s="15"/>
    </row>
    <row r="29" spans="2:19">
      <c r="M29" s="15"/>
    </row>
    <row r="30" spans="2:19">
      <c r="B30" s="10" t="s">
        <v>7</v>
      </c>
      <c r="C30" s="11"/>
      <c r="D30" s="11">
        <v>17</v>
      </c>
      <c r="E30" s="11">
        <v>22</v>
      </c>
      <c r="F30" s="11">
        <v>24</v>
      </c>
      <c r="G30" s="11">
        <v>25</v>
      </c>
      <c r="H30" s="11">
        <v>26</v>
      </c>
      <c r="I30" s="11">
        <v>28</v>
      </c>
      <c r="J30" s="11">
        <v>32</v>
      </c>
      <c r="K30" s="11">
        <v>33</v>
      </c>
      <c r="L30" s="11">
        <v>40</v>
      </c>
      <c r="M30" s="14">
        <v>41</v>
      </c>
      <c r="N30" s="11">
        <v>42</v>
      </c>
      <c r="O30" s="11">
        <v>43</v>
      </c>
      <c r="P30" s="11">
        <v>44</v>
      </c>
      <c r="Q30" s="11">
        <v>45</v>
      </c>
      <c r="R30" s="11">
        <v>46</v>
      </c>
    </row>
    <row r="31" spans="2:19">
      <c r="B31" s="11" t="s">
        <v>8</v>
      </c>
      <c r="C31" s="11" t="s">
        <v>14</v>
      </c>
      <c r="D31" s="2">
        <v>3</v>
      </c>
      <c r="E31" s="2">
        <v>5</v>
      </c>
      <c r="F31" s="2">
        <v>3</v>
      </c>
      <c r="G31" s="2">
        <v>2</v>
      </c>
      <c r="H31" s="2">
        <v>5</v>
      </c>
      <c r="I31" s="2">
        <v>5</v>
      </c>
      <c r="J31" s="2">
        <v>2</v>
      </c>
      <c r="K31" s="2">
        <v>5</v>
      </c>
      <c r="L31" s="2">
        <v>4</v>
      </c>
      <c r="M31" s="15">
        <v>3</v>
      </c>
      <c r="N31" s="15">
        <v>3</v>
      </c>
      <c r="O31" s="15">
        <v>4</v>
      </c>
      <c r="P31" s="15">
        <v>5</v>
      </c>
      <c r="Q31" s="15">
        <v>4</v>
      </c>
      <c r="R31" s="15">
        <v>5</v>
      </c>
      <c r="S31">
        <f>AVERAGE(D31:R31)</f>
        <v>3.8666666666666667</v>
      </c>
    </row>
    <row r="32" spans="2:19">
      <c r="B32" s="11" t="s">
        <v>9</v>
      </c>
      <c r="C32" s="11" t="s">
        <v>15</v>
      </c>
      <c r="D32" s="2">
        <v>5</v>
      </c>
      <c r="E32" s="2">
        <v>3</v>
      </c>
      <c r="F32" s="2">
        <v>4</v>
      </c>
      <c r="G32" s="2">
        <v>2</v>
      </c>
      <c r="H32" s="2">
        <v>4</v>
      </c>
      <c r="I32" s="2">
        <v>5</v>
      </c>
      <c r="J32" s="2">
        <v>4</v>
      </c>
      <c r="K32" s="2">
        <v>2</v>
      </c>
      <c r="L32" s="2">
        <v>2</v>
      </c>
      <c r="M32" s="15">
        <v>3</v>
      </c>
      <c r="N32" s="15">
        <v>4</v>
      </c>
      <c r="O32" s="15">
        <v>3</v>
      </c>
      <c r="P32" s="15">
        <v>3</v>
      </c>
      <c r="Q32" s="15">
        <v>2</v>
      </c>
      <c r="R32" s="15">
        <v>3</v>
      </c>
      <c r="S32">
        <f t="shared" ref="S32:S36" si="2">AVERAGE(D32:R32)</f>
        <v>3.2666666666666666</v>
      </c>
    </row>
    <row r="33" spans="2:19">
      <c r="B33" s="11" t="s">
        <v>10</v>
      </c>
      <c r="C33" s="11" t="s">
        <v>16</v>
      </c>
      <c r="D33" s="2">
        <v>5</v>
      </c>
      <c r="E33" s="2">
        <v>4</v>
      </c>
      <c r="F33" s="2">
        <v>3</v>
      </c>
      <c r="G33" s="2">
        <v>2</v>
      </c>
      <c r="H33" s="2">
        <v>5</v>
      </c>
      <c r="I33" s="2">
        <v>5</v>
      </c>
      <c r="J33" s="2">
        <v>3</v>
      </c>
      <c r="K33" s="2">
        <v>3</v>
      </c>
      <c r="L33" s="2">
        <v>4</v>
      </c>
      <c r="M33" s="15">
        <v>4</v>
      </c>
      <c r="N33" s="15">
        <v>4</v>
      </c>
      <c r="O33" s="15">
        <v>4</v>
      </c>
      <c r="P33" s="15">
        <v>5</v>
      </c>
      <c r="Q33" s="15">
        <v>4</v>
      </c>
      <c r="R33" s="15">
        <v>3</v>
      </c>
      <c r="S33">
        <f t="shared" si="2"/>
        <v>3.8666666666666667</v>
      </c>
    </row>
    <row r="34" spans="2:19">
      <c r="B34" s="11" t="s">
        <v>11</v>
      </c>
      <c r="C34" s="11" t="s">
        <v>17</v>
      </c>
      <c r="D34" s="2">
        <v>5</v>
      </c>
      <c r="E34" s="2">
        <v>5</v>
      </c>
      <c r="F34" s="2">
        <v>5</v>
      </c>
      <c r="G34" s="2">
        <v>2</v>
      </c>
      <c r="H34" s="2">
        <v>5</v>
      </c>
      <c r="I34" s="2">
        <v>5</v>
      </c>
      <c r="J34" s="2">
        <v>4</v>
      </c>
      <c r="K34" s="2">
        <v>5</v>
      </c>
      <c r="L34" s="2">
        <v>5</v>
      </c>
      <c r="M34" s="15">
        <v>5</v>
      </c>
      <c r="N34" s="15">
        <v>5</v>
      </c>
      <c r="O34" s="15">
        <v>5</v>
      </c>
      <c r="P34" s="15">
        <v>5</v>
      </c>
      <c r="Q34" s="15">
        <v>4</v>
      </c>
      <c r="R34" s="15">
        <v>5</v>
      </c>
      <c r="S34">
        <f t="shared" si="2"/>
        <v>4.666666666666667</v>
      </c>
    </row>
    <row r="35" spans="2:19">
      <c r="B35" s="11" t="s">
        <v>12</v>
      </c>
      <c r="C35" s="11" t="s">
        <v>18</v>
      </c>
      <c r="D35" s="2">
        <v>3</v>
      </c>
      <c r="E35" s="2">
        <v>3</v>
      </c>
      <c r="F35" s="2">
        <v>4</v>
      </c>
      <c r="G35" s="2">
        <v>2</v>
      </c>
      <c r="H35" s="2">
        <v>4</v>
      </c>
      <c r="I35" s="2">
        <v>3</v>
      </c>
      <c r="J35" s="2">
        <v>4</v>
      </c>
      <c r="K35" s="2">
        <v>5</v>
      </c>
      <c r="L35" s="2">
        <v>2</v>
      </c>
      <c r="M35" s="15">
        <v>4</v>
      </c>
      <c r="N35" s="15">
        <v>4</v>
      </c>
      <c r="O35" s="15">
        <v>2</v>
      </c>
      <c r="P35" s="15">
        <v>3</v>
      </c>
      <c r="Q35" s="15">
        <v>5</v>
      </c>
      <c r="R35" s="15">
        <v>4</v>
      </c>
      <c r="S35">
        <f t="shared" si="2"/>
        <v>3.4666666666666668</v>
      </c>
    </row>
    <row r="36" spans="2:19">
      <c r="B36" s="11" t="s">
        <v>13</v>
      </c>
      <c r="C36" s="11" t="s">
        <v>19</v>
      </c>
      <c r="D36" s="2">
        <v>3</v>
      </c>
      <c r="E36" s="2">
        <v>5</v>
      </c>
      <c r="F36" s="2">
        <v>1</v>
      </c>
      <c r="G36" s="2">
        <v>2</v>
      </c>
      <c r="H36" s="2">
        <v>3</v>
      </c>
      <c r="I36" s="2">
        <v>4</v>
      </c>
      <c r="J36" s="2">
        <v>4</v>
      </c>
      <c r="K36" s="2">
        <v>3</v>
      </c>
      <c r="L36" s="2">
        <v>4</v>
      </c>
      <c r="M36" s="15">
        <v>5</v>
      </c>
      <c r="N36" s="15">
        <v>5</v>
      </c>
      <c r="O36" s="15">
        <v>4</v>
      </c>
      <c r="P36" s="15">
        <v>4</v>
      </c>
      <c r="Q36" s="15">
        <v>4</v>
      </c>
      <c r="R36" s="15">
        <v>4</v>
      </c>
      <c r="S36">
        <f t="shared" si="2"/>
        <v>3.6666666666666665</v>
      </c>
    </row>
    <row r="37" spans="2:19">
      <c r="B37" s="17" t="s">
        <v>0</v>
      </c>
      <c r="C37" s="17">
        <v>2</v>
      </c>
      <c r="D37" s="2"/>
      <c r="E37" s="2"/>
      <c r="F37" s="2"/>
      <c r="G37" s="2"/>
      <c r="H37" s="2"/>
      <c r="I37" s="2"/>
      <c r="J37" s="2"/>
      <c r="K37" s="2"/>
      <c r="L37" s="2"/>
      <c r="M37" s="15"/>
      <c r="N37" s="15"/>
      <c r="O37" s="15"/>
      <c r="P37" s="15"/>
      <c r="Q37" s="15"/>
      <c r="R37" s="15"/>
    </row>
    <row r="38" spans="2:19">
      <c r="B38" s="17" t="s">
        <v>1</v>
      </c>
      <c r="C38" s="17">
        <v>5</v>
      </c>
      <c r="D38" s="2"/>
      <c r="E38" s="2"/>
      <c r="F38" s="2"/>
      <c r="G38" s="2"/>
      <c r="H38" s="2"/>
      <c r="I38" s="2"/>
      <c r="J38" s="2"/>
      <c r="K38" s="2"/>
      <c r="L38" s="2"/>
      <c r="M38" s="15"/>
      <c r="N38" s="15"/>
      <c r="O38" s="15"/>
      <c r="P38" s="15"/>
      <c r="Q38" s="15"/>
      <c r="R38" s="15"/>
    </row>
    <row r="39" spans="2:19">
      <c r="B39" s="17" t="s">
        <v>2</v>
      </c>
      <c r="C39" s="17">
        <v>8</v>
      </c>
      <c r="D39" s="2"/>
      <c r="E39" s="2"/>
      <c r="F39" s="2"/>
      <c r="G39" s="2"/>
      <c r="H39" s="2"/>
      <c r="I39" s="2"/>
      <c r="J39" s="2"/>
      <c r="K39" s="2"/>
      <c r="L39" s="2"/>
      <c r="M39" s="15"/>
      <c r="N39" s="15"/>
      <c r="O39" s="15"/>
      <c r="P39" s="15"/>
      <c r="Q39" s="15"/>
      <c r="R39" s="15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T42"/>
  <sheetViews>
    <sheetView zoomScale="80" zoomScaleNormal="80" workbookViewId="0">
      <selection activeCell="P24" sqref="P24"/>
    </sheetView>
  </sheetViews>
  <sheetFormatPr defaultRowHeight="14.4"/>
  <cols>
    <col min="3" max="3" width="20.33203125" customWidth="1"/>
    <col min="11" max="11" width="12.33203125" customWidth="1"/>
    <col min="13" max="13" width="12.109375" customWidth="1"/>
    <col min="18" max="18" width="10.6640625" customWidth="1"/>
    <col min="19" max="19" width="10" customWidth="1"/>
  </cols>
  <sheetData>
    <row r="1" spans="2:20"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12" customHeight="1"/>
    <row r="4" spans="2:20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</row>
    <row r="5" spans="2:20">
      <c r="B5" s="10" t="s">
        <v>3</v>
      </c>
      <c r="C5" s="11"/>
      <c r="D5" s="11">
        <f>16</f>
        <v>16</v>
      </c>
      <c r="E5" s="11">
        <f>18</f>
        <v>18</v>
      </c>
      <c r="F5" s="11">
        <f>19</f>
        <v>19</v>
      </c>
      <c r="G5" s="11">
        <f>20</f>
        <v>20</v>
      </c>
      <c r="H5" s="11">
        <f>21</f>
        <v>21</v>
      </c>
      <c r="I5" s="11">
        <f>23</f>
        <v>23</v>
      </c>
      <c r="J5" s="11">
        <f>27</f>
        <v>27</v>
      </c>
      <c r="K5" s="11">
        <f>29</f>
        <v>29</v>
      </c>
      <c r="L5" s="11">
        <f>30</f>
        <v>30</v>
      </c>
      <c r="M5" s="14">
        <f>31</f>
        <v>31</v>
      </c>
      <c r="N5" s="11">
        <f>34</f>
        <v>34</v>
      </c>
      <c r="O5" s="11">
        <f>35</f>
        <v>35</v>
      </c>
      <c r="P5" s="14">
        <v>36</v>
      </c>
      <c r="Q5" s="11">
        <v>37</v>
      </c>
      <c r="R5" s="11">
        <v>38</v>
      </c>
      <c r="S5" s="11">
        <v>39</v>
      </c>
    </row>
    <row r="6" spans="2:20">
      <c r="B6" s="11" t="s">
        <v>8</v>
      </c>
      <c r="C6" s="11" t="s">
        <v>14</v>
      </c>
      <c r="D6" s="2">
        <v>3</v>
      </c>
      <c r="E6" s="2">
        <v>3</v>
      </c>
      <c r="F6" s="2">
        <v>5</v>
      </c>
      <c r="G6" s="2">
        <v>1</v>
      </c>
      <c r="H6" s="2">
        <v>4</v>
      </c>
      <c r="I6" s="2">
        <v>3</v>
      </c>
      <c r="J6" s="2">
        <v>4</v>
      </c>
      <c r="K6" s="2">
        <v>4</v>
      </c>
      <c r="L6" s="2">
        <v>5</v>
      </c>
      <c r="M6" s="16">
        <v>3</v>
      </c>
      <c r="N6" s="16">
        <v>2</v>
      </c>
      <c r="O6" s="16">
        <v>1</v>
      </c>
      <c r="P6" s="16">
        <v>3</v>
      </c>
      <c r="Q6" s="16">
        <v>3</v>
      </c>
      <c r="R6" s="16">
        <v>2</v>
      </c>
      <c r="S6" s="16">
        <v>3</v>
      </c>
      <c r="T6" s="20">
        <f>AVERAGE(D6:S6)</f>
        <v>3.0625</v>
      </c>
    </row>
    <row r="7" spans="2:20">
      <c r="B7" s="11" t="s">
        <v>9</v>
      </c>
      <c r="C7" s="11" t="s">
        <v>15</v>
      </c>
      <c r="D7" s="2">
        <v>3</v>
      </c>
      <c r="E7" s="2">
        <v>1</v>
      </c>
      <c r="F7" s="2">
        <v>4</v>
      </c>
      <c r="G7" s="2">
        <v>1</v>
      </c>
      <c r="H7" s="2">
        <v>2</v>
      </c>
      <c r="I7" s="2">
        <v>3</v>
      </c>
      <c r="J7" s="2">
        <v>5</v>
      </c>
      <c r="K7" s="2">
        <v>3</v>
      </c>
      <c r="L7" s="2">
        <v>5</v>
      </c>
      <c r="M7" s="15">
        <v>4</v>
      </c>
      <c r="N7" s="15">
        <v>2</v>
      </c>
      <c r="O7" s="15">
        <v>1</v>
      </c>
      <c r="P7" s="15">
        <v>3</v>
      </c>
      <c r="Q7" s="15">
        <v>4</v>
      </c>
      <c r="R7" s="15">
        <v>2</v>
      </c>
      <c r="S7" s="15">
        <v>2</v>
      </c>
      <c r="T7" s="20">
        <f t="shared" ref="T7:T11" si="0">AVERAGE(D7:S7)</f>
        <v>2.8125</v>
      </c>
    </row>
    <row r="8" spans="2:20">
      <c r="B8" s="11" t="s">
        <v>10</v>
      </c>
      <c r="C8" s="11" t="s">
        <v>16</v>
      </c>
      <c r="D8" s="2">
        <v>3</v>
      </c>
      <c r="E8" s="2">
        <v>1</v>
      </c>
      <c r="F8" s="2">
        <v>5</v>
      </c>
      <c r="G8" s="2">
        <v>1</v>
      </c>
      <c r="H8" s="2">
        <v>2</v>
      </c>
      <c r="I8" s="2">
        <v>4</v>
      </c>
      <c r="J8" s="2">
        <v>4</v>
      </c>
      <c r="K8" s="2">
        <v>5</v>
      </c>
      <c r="L8" s="2">
        <v>5</v>
      </c>
      <c r="M8" s="15">
        <v>3</v>
      </c>
      <c r="N8" s="15">
        <v>3</v>
      </c>
      <c r="O8" s="15">
        <v>1</v>
      </c>
      <c r="P8" s="15">
        <v>3</v>
      </c>
      <c r="Q8" s="15">
        <v>3</v>
      </c>
      <c r="R8" s="15">
        <v>2</v>
      </c>
      <c r="S8" s="15">
        <v>2</v>
      </c>
      <c r="T8" s="20">
        <f t="shared" si="0"/>
        <v>2.9375</v>
      </c>
    </row>
    <row r="9" spans="2:20">
      <c r="B9" s="11" t="s">
        <v>11</v>
      </c>
      <c r="C9" s="11" t="s">
        <v>17</v>
      </c>
      <c r="D9" s="2">
        <v>2</v>
      </c>
      <c r="E9" s="2">
        <v>1</v>
      </c>
      <c r="F9" s="2">
        <v>5</v>
      </c>
      <c r="G9" s="2">
        <v>1</v>
      </c>
      <c r="H9" s="2">
        <v>2</v>
      </c>
      <c r="I9" s="2">
        <v>5</v>
      </c>
      <c r="J9" s="2">
        <v>4</v>
      </c>
      <c r="K9" s="2">
        <v>5</v>
      </c>
      <c r="L9" s="2">
        <v>5</v>
      </c>
      <c r="M9" s="15">
        <v>3</v>
      </c>
      <c r="N9" s="15">
        <v>3</v>
      </c>
      <c r="O9" s="15">
        <v>3</v>
      </c>
      <c r="P9" s="15">
        <v>3</v>
      </c>
      <c r="Q9" s="15">
        <v>3</v>
      </c>
      <c r="R9" s="15">
        <v>2</v>
      </c>
      <c r="S9" s="15">
        <v>2</v>
      </c>
      <c r="T9" s="20">
        <f t="shared" si="0"/>
        <v>3.0625</v>
      </c>
    </row>
    <row r="10" spans="2:20">
      <c r="B10" s="11" t="s">
        <v>12</v>
      </c>
      <c r="C10" s="11" t="s">
        <v>18</v>
      </c>
      <c r="D10" s="2">
        <v>2</v>
      </c>
      <c r="E10" s="2">
        <v>1</v>
      </c>
      <c r="F10" s="2">
        <v>5</v>
      </c>
      <c r="G10" s="2">
        <v>1</v>
      </c>
      <c r="H10" s="2">
        <v>2</v>
      </c>
      <c r="I10" s="2">
        <v>2</v>
      </c>
      <c r="J10" s="2">
        <v>4</v>
      </c>
      <c r="K10" s="2">
        <v>4</v>
      </c>
      <c r="L10" s="2">
        <v>4</v>
      </c>
      <c r="M10" s="15">
        <v>4</v>
      </c>
      <c r="N10" s="15">
        <v>5</v>
      </c>
      <c r="O10" s="15">
        <v>1</v>
      </c>
      <c r="P10" s="15">
        <v>4</v>
      </c>
      <c r="Q10" s="15">
        <v>5</v>
      </c>
      <c r="R10" s="15">
        <v>2</v>
      </c>
      <c r="S10" s="15">
        <v>2</v>
      </c>
      <c r="T10" s="20">
        <f t="shared" si="0"/>
        <v>3</v>
      </c>
    </row>
    <row r="11" spans="2:20">
      <c r="B11" s="11" t="s">
        <v>13</v>
      </c>
      <c r="C11" s="11" t="s">
        <v>19</v>
      </c>
      <c r="D11" s="2">
        <v>2</v>
      </c>
      <c r="E11" s="2">
        <v>2</v>
      </c>
      <c r="F11" s="2">
        <v>5</v>
      </c>
      <c r="G11" s="2">
        <v>1</v>
      </c>
      <c r="H11" s="2">
        <v>4</v>
      </c>
      <c r="I11" s="2">
        <v>4</v>
      </c>
      <c r="J11" s="2">
        <v>4</v>
      </c>
      <c r="K11" s="2">
        <v>5</v>
      </c>
      <c r="L11" s="2">
        <v>4</v>
      </c>
      <c r="M11" s="15">
        <v>3</v>
      </c>
      <c r="N11" s="15">
        <v>3</v>
      </c>
      <c r="O11" s="15">
        <v>2</v>
      </c>
      <c r="P11" s="15">
        <v>3</v>
      </c>
      <c r="Q11" s="15">
        <v>3</v>
      </c>
      <c r="R11" s="15">
        <v>3</v>
      </c>
      <c r="S11" s="15">
        <v>3</v>
      </c>
      <c r="T11" s="20">
        <f t="shared" si="0"/>
        <v>3.1875</v>
      </c>
    </row>
    <row r="12" spans="2:20">
      <c r="B12" s="17" t="s">
        <v>0</v>
      </c>
      <c r="C12" s="17">
        <v>1</v>
      </c>
      <c r="D12" s="2"/>
      <c r="E12" s="2"/>
      <c r="F12" s="2"/>
      <c r="G12" s="2"/>
      <c r="H12" s="2"/>
      <c r="I12" s="2"/>
      <c r="J12" s="2"/>
      <c r="K12" s="2"/>
      <c r="L12" s="2"/>
      <c r="M12" s="15"/>
      <c r="N12" s="15"/>
      <c r="O12" s="15"/>
      <c r="P12" s="15"/>
      <c r="Q12" s="15"/>
      <c r="R12" s="15"/>
      <c r="S12" s="2"/>
    </row>
    <row r="13" spans="2:20">
      <c r="B13" s="17" t="s">
        <v>1</v>
      </c>
      <c r="C13" s="17">
        <v>5</v>
      </c>
      <c r="D13" s="2"/>
      <c r="E13" s="2"/>
      <c r="F13" s="2"/>
      <c r="G13" s="2"/>
      <c r="H13" s="2"/>
      <c r="I13" s="2"/>
      <c r="J13" s="2"/>
      <c r="K13" s="2"/>
      <c r="L13" s="2"/>
      <c r="M13" s="15"/>
      <c r="N13" s="15"/>
      <c r="O13" s="15"/>
      <c r="P13" s="15"/>
      <c r="Q13" s="15"/>
      <c r="R13" s="15"/>
      <c r="S13" s="2"/>
    </row>
    <row r="14" spans="2:20">
      <c r="B14" s="17" t="s">
        <v>2</v>
      </c>
      <c r="C14" s="17">
        <v>10</v>
      </c>
      <c r="D14" s="2"/>
      <c r="E14" s="2"/>
      <c r="F14" s="2"/>
      <c r="G14" s="2"/>
      <c r="H14" s="2"/>
      <c r="I14" s="2"/>
      <c r="J14" s="2"/>
      <c r="K14" s="2"/>
      <c r="L14" s="2"/>
      <c r="M14" s="15"/>
      <c r="N14" s="15"/>
      <c r="O14" s="15"/>
      <c r="P14" s="15"/>
      <c r="Q14" s="15"/>
      <c r="R14" s="15"/>
      <c r="S14" s="2"/>
    </row>
    <row r="17" spans="2:20"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  <c r="K17">
        <v>8</v>
      </c>
      <c r="L17">
        <v>9</v>
      </c>
      <c r="M17">
        <v>10</v>
      </c>
      <c r="N17">
        <v>11</v>
      </c>
      <c r="O17">
        <v>12</v>
      </c>
      <c r="P17">
        <v>13</v>
      </c>
      <c r="Q17">
        <v>14</v>
      </c>
      <c r="R17">
        <v>15</v>
      </c>
      <c r="S17">
        <v>16</v>
      </c>
    </row>
    <row r="18" spans="2:20">
      <c r="B18" s="10" t="s">
        <v>4</v>
      </c>
      <c r="C18" s="11"/>
      <c r="D18" s="11">
        <f>16</f>
        <v>16</v>
      </c>
      <c r="E18" s="11">
        <f>18</f>
        <v>18</v>
      </c>
      <c r="F18" s="11">
        <f>19</f>
        <v>19</v>
      </c>
      <c r="G18" s="11">
        <f>20</f>
        <v>20</v>
      </c>
      <c r="H18" s="11">
        <f>21</f>
        <v>21</v>
      </c>
      <c r="I18" s="11">
        <f>23</f>
        <v>23</v>
      </c>
      <c r="J18" s="11">
        <f>27</f>
        <v>27</v>
      </c>
      <c r="K18" s="11">
        <f>29</f>
        <v>29</v>
      </c>
      <c r="L18" s="11">
        <f>30</f>
        <v>30</v>
      </c>
      <c r="M18" s="14">
        <f>31</f>
        <v>31</v>
      </c>
      <c r="N18" s="11">
        <f>34</f>
        <v>34</v>
      </c>
      <c r="O18" s="11">
        <f>35</f>
        <v>35</v>
      </c>
      <c r="P18" s="14">
        <v>36</v>
      </c>
      <c r="Q18" s="11">
        <v>37</v>
      </c>
      <c r="R18" s="11">
        <v>38</v>
      </c>
      <c r="S18" s="11">
        <v>39</v>
      </c>
    </row>
    <row r="19" spans="2:20">
      <c r="B19" s="11" t="s">
        <v>8</v>
      </c>
      <c r="C19" s="11" t="s">
        <v>14</v>
      </c>
      <c r="D19" s="2">
        <v>2</v>
      </c>
      <c r="E19" s="2">
        <v>4</v>
      </c>
      <c r="F19" s="2">
        <v>5</v>
      </c>
      <c r="G19" s="2">
        <v>4</v>
      </c>
      <c r="H19" s="2">
        <v>3</v>
      </c>
      <c r="I19" s="2">
        <v>3</v>
      </c>
      <c r="J19" s="2">
        <v>5</v>
      </c>
      <c r="K19" s="2">
        <v>5</v>
      </c>
      <c r="L19" s="2">
        <v>3</v>
      </c>
      <c r="M19" s="16">
        <v>4</v>
      </c>
      <c r="N19" s="16">
        <v>3</v>
      </c>
      <c r="O19" s="16">
        <v>4</v>
      </c>
      <c r="P19" s="16">
        <v>5</v>
      </c>
      <c r="Q19" s="16">
        <v>5</v>
      </c>
      <c r="R19" s="16">
        <v>5</v>
      </c>
      <c r="S19" s="16">
        <v>5</v>
      </c>
      <c r="T19" s="21">
        <f>AVERAGE(D19:S19)</f>
        <v>4.0625</v>
      </c>
    </row>
    <row r="20" spans="2:20">
      <c r="B20" s="11" t="s">
        <v>9</v>
      </c>
      <c r="C20" s="11" t="s">
        <v>15</v>
      </c>
      <c r="D20" s="2">
        <v>2</v>
      </c>
      <c r="E20" s="2">
        <v>4</v>
      </c>
      <c r="F20" s="2">
        <v>4</v>
      </c>
      <c r="G20" s="2">
        <v>1</v>
      </c>
      <c r="H20" s="2">
        <v>4</v>
      </c>
      <c r="I20" s="2">
        <v>3</v>
      </c>
      <c r="J20" s="2">
        <v>5</v>
      </c>
      <c r="K20" s="2">
        <v>3</v>
      </c>
      <c r="L20" s="2">
        <v>5</v>
      </c>
      <c r="M20" s="15">
        <v>4</v>
      </c>
      <c r="N20" s="15">
        <v>4</v>
      </c>
      <c r="O20" s="15">
        <v>4</v>
      </c>
      <c r="P20" s="15">
        <v>5</v>
      </c>
      <c r="Q20" s="15">
        <v>5</v>
      </c>
      <c r="R20" s="15">
        <v>5</v>
      </c>
      <c r="S20" s="15">
        <v>5</v>
      </c>
      <c r="T20" s="21">
        <f t="shared" ref="T20:T24" si="1">AVERAGE(D20:S20)</f>
        <v>3.9375</v>
      </c>
    </row>
    <row r="21" spans="2:20">
      <c r="B21" s="11" t="s">
        <v>10</v>
      </c>
      <c r="C21" s="11" t="s">
        <v>16</v>
      </c>
      <c r="D21" s="2">
        <v>2</v>
      </c>
      <c r="E21" s="2">
        <v>4</v>
      </c>
      <c r="F21" s="2">
        <v>5</v>
      </c>
      <c r="G21" s="2">
        <v>2</v>
      </c>
      <c r="H21" s="2">
        <v>5</v>
      </c>
      <c r="I21" s="2">
        <v>4</v>
      </c>
      <c r="J21" s="2">
        <v>5</v>
      </c>
      <c r="K21" s="2">
        <v>5</v>
      </c>
      <c r="L21" s="2">
        <v>5</v>
      </c>
      <c r="M21" s="15">
        <v>4</v>
      </c>
      <c r="N21" s="15">
        <v>4</v>
      </c>
      <c r="O21" s="15">
        <v>5</v>
      </c>
      <c r="P21" s="15">
        <v>5</v>
      </c>
      <c r="Q21" s="15">
        <v>5</v>
      </c>
      <c r="R21" s="15">
        <v>5</v>
      </c>
      <c r="S21" s="15">
        <v>5</v>
      </c>
      <c r="T21" s="21">
        <f t="shared" si="1"/>
        <v>4.375</v>
      </c>
    </row>
    <row r="22" spans="2:20">
      <c r="B22" s="11" t="s">
        <v>11</v>
      </c>
      <c r="C22" s="11" t="s">
        <v>17</v>
      </c>
      <c r="D22" s="2">
        <v>3</v>
      </c>
      <c r="E22" s="2">
        <v>5</v>
      </c>
      <c r="F22" s="2">
        <v>4</v>
      </c>
      <c r="G22" s="2">
        <v>1</v>
      </c>
      <c r="H22" s="2">
        <v>4</v>
      </c>
      <c r="I22" s="2">
        <v>5</v>
      </c>
      <c r="J22" s="2">
        <v>5</v>
      </c>
      <c r="K22" s="2">
        <v>5</v>
      </c>
      <c r="L22" s="2">
        <v>5</v>
      </c>
      <c r="M22" s="15">
        <v>4</v>
      </c>
      <c r="N22" s="15">
        <v>5</v>
      </c>
      <c r="O22" s="15">
        <v>4</v>
      </c>
      <c r="P22" s="15">
        <v>5</v>
      </c>
      <c r="Q22" s="15">
        <v>5</v>
      </c>
      <c r="R22" s="15">
        <v>4</v>
      </c>
      <c r="S22" s="15">
        <v>5</v>
      </c>
      <c r="T22" s="21">
        <f t="shared" si="1"/>
        <v>4.3125</v>
      </c>
    </row>
    <row r="23" spans="2:20">
      <c r="B23" s="11" t="s">
        <v>12</v>
      </c>
      <c r="C23" s="11" t="s">
        <v>18</v>
      </c>
      <c r="D23" s="2">
        <v>3</v>
      </c>
      <c r="E23" s="2">
        <v>5</v>
      </c>
      <c r="F23" s="2">
        <v>5</v>
      </c>
      <c r="G23" s="2">
        <v>3</v>
      </c>
      <c r="H23" s="2">
        <v>4</v>
      </c>
      <c r="I23" s="2">
        <v>3</v>
      </c>
      <c r="J23" s="2">
        <v>4</v>
      </c>
      <c r="K23" s="2">
        <v>5</v>
      </c>
      <c r="L23" s="2">
        <v>5</v>
      </c>
      <c r="M23" s="15">
        <v>3</v>
      </c>
      <c r="N23" s="15">
        <v>4</v>
      </c>
      <c r="O23" s="15">
        <v>4</v>
      </c>
      <c r="P23" s="15">
        <v>5</v>
      </c>
      <c r="Q23" s="15">
        <v>5</v>
      </c>
      <c r="R23" s="15">
        <v>5</v>
      </c>
      <c r="S23" s="15">
        <v>4</v>
      </c>
      <c r="T23" s="21">
        <f t="shared" si="1"/>
        <v>4.1875</v>
      </c>
    </row>
    <row r="24" spans="2:20">
      <c r="B24" s="11" t="s">
        <v>13</v>
      </c>
      <c r="C24" s="11" t="s">
        <v>19</v>
      </c>
      <c r="D24" s="2">
        <v>3</v>
      </c>
      <c r="E24" s="2">
        <v>5</v>
      </c>
      <c r="F24" s="2">
        <v>5</v>
      </c>
      <c r="G24" s="2">
        <v>1</v>
      </c>
      <c r="H24" s="2">
        <v>3</v>
      </c>
      <c r="I24" s="2">
        <v>4</v>
      </c>
      <c r="J24" s="2">
        <v>4</v>
      </c>
      <c r="K24" s="2">
        <v>5</v>
      </c>
      <c r="L24" s="2">
        <v>5</v>
      </c>
      <c r="M24" s="15">
        <v>3</v>
      </c>
      <c r="N24" s="15">
        <v>2</v>
      </c>
      <c r="O24" s="15">
        <v>5</v>
      </c>
      <c r="P24" s="15">
        <v>5</v>
      </c>
      <c r="Q24" s="15">
        <v>4</v>
      </c>
      <c r="R24" s="15">
        <v>5</v>
      </c>
      <c r="S24" s="15">
        <v>5</v>
      </c>
      <c r="T24" s="21">
        <f t="shared" si="1"/>
        <v>4</v>
      </c>
    </row>
    <row r="25" spans="2:20">
      <c r="B25" s="17" t="s">
        <v>0</v>
      </c>
      <c r="C25" s="19">
        <v>9</v>
      </c>
      <c r="D25" s="2"/>
      <c r="E25" s="2"/>
      <c r="F25" s="2"/>
      <c r="G25" s="2"/>
      <c r="H25" s="2"/>
      <c r="I25" s="2"/>
      <c r="J25" s="2"/>
      <c r="K25" s="2"/>
      <c r="L25" s="2"/>
      <c r="M25" s="15"/>
      <c r="N25" s="15"/>
      <c r="O25" s="15"/>
      <c r="P25" s="15"/>
      <c r="Q25" s="15"/>
      <c r="R25" s="15"/>
      <c r="S25" s="2"/>
    </row>
    <row r="26" spans="2:20">
      <c r="B26" s="17" t="s">
        <v>1</v>
      </c>
      <c r="C26" s="17">
        <v>6</v>
      </c>
      <c r="D26" s="2"/>
      <c r="E26" s="2"/>
      <c r="F26" s="2"/>
      <c r="G26" s="2"/>
      <c r="H26" s="2"/>
      <c r="I26" s="2"/>
      <c r="J26" s="2"/>
      <c r="K26" s="2"/>
      <c r="L26" s="2"/>
      <c r="M26" s="15"/>
      <c r="N26" s="15"/>
      <c r="O26" s="15"/>
      <c r="P26" s="15"/>
      <c r="Q26" s="15"/>
      <c r="R26" s="15"/>
      <c r="S26" s="2"/>
    </row>
    <row r="27" spans="2:20">
      <c r="B27" s="17" t="s">
        <v>2</v>
      </c>
      <c r="C27" s="17">
        <v>1</v>
      </c>
      <c r="D27" s="2"/>
      <c r="E27" s="2"/>
      <c r="F27" s="2"/>
      <c r="G27" s="2"/>
      <c r="H27" s="2"/>
      <c r="I27" s="2"/>
      <c r="J27" s="2"/>
      <c r="K27" s="2"/>
      <c r="L27" s="2"/>
      <c r="M27" s="15"/>
      <c r="N27" s="15"/>
      <c r="O27" s="15"/>
      <c r="P27" s="15"/>
      <c r="Q27" s="15"/>
      <c r="R27" s="15"/>
      <c r="S27" s="2"/>
    </row>
    <row r="28" spans="2:20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2:20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20">
      <c r="D30">
        <v>1</v>
      </c>
      <c r="E30">
        <v>2</v>
      </c>
      <c r="F30">
        <v>3</v>
      </c>
      <c r="G30">
        <v>4</v>
      </c>
      <c r="H30">
        <v>5</v>
      </c>
      <c r="I30">
        <v>6</v>
      </c>
      <c r="J30">
        <v>7</v>
      </c>
      <c r="K30">
        <v>8</v>
      </c>
      <c r="L30">
        <v>9</v>
      </c>
      <c r="M30">
        <v>10</v>
      </c>
      <c r="N30">
        <v>11</v>
      </c>
      <c r="O30">
        <v>12</v>
      </c>
      <c r="P30">
        <v>13</v>
      </c>
      <c r="Q30">
        <v>14</v>
      </c>
      <c r="R30">
        <v>15</v>
      </c>
      <c r="S30">
        <v>16</v>
      </c>
    </row>
    <row r="31" spans="2:20">
      <c r="B31" s="10" t="s">
        <v>20</v>
      </c>
      <c r="C31" s="11"/>
      <c r="D31" s="11">
        <f>16</f>
        <v>16</v>
      </c>
      <c r="E31" s="11">
        <f>18</f>
        <v>18</v>
      </c>
      <c r="F31" s="11">
        <f>19</f>
        <v>19</v>
      </c>
      <c r="G31" s="11">
        <f>20</f>
        <v>20</v>
      </c>
      <c r="H31" s="11">
        <f>21</f>
        <v>21</v>
      </c>
      <c r="I31" s="11">
        <f>23</f>
        <v>23</v>
      </c>
      <c r="J31" s="11">
        <f>27</f>
        <v>27</v>
      </c>
      <c r="K31" s="11">
        <f>29</f>
        <v>29</v>
      </c>
      <c r="L31" s="11">
        <f>30</f>
        <v>30</v>
      </c>
      <c r="M31" s="14">
        <f>31</f>
        <v>31</v>
      </c>
      <c r="N31" s="11">
        <f>34</f>
        <v>34</v>
      </c>
      <c r="O31" s="11">
        <f>35</f>
        <v>35</v>
      </c>
      <c r="P31" s="14">
        <v>36</v>
      </c>
      <c r="Q31" s="11">
        <v>37</v>
      </c>
      <c r="R31" s="11">
        <v>38</v>
      </c>
      <c r="S31" s="11">
        <v>39</v>
      </c>
    </row>
    <row r="32" spans="2:20">
      <c r="B32" s="11" t="s">
        <v>8</v>
      </c>
      <c r="C32" s="11" t="s">
        <v>14</v>
      </c>
      <c r="D32" s="2">
        <v>3</v>
      </c>
      <c r="E32" s="2">
        <v>3</v>
      </c>
      <c r="F32" s="2">
        <v>3</v>
      </c>
      <c r="G32" s="2">
        <v>3</v>
      </c>
      <c r="H32" s="2">
        <v>4</v>
      </c>
      <c r="I32" s="2">
        <v>3</v>
      </c>
      <c r="J32" s="2">
        <v>4</v>
      </c>
      <c r="K32" s="2">
        <v>4</v>
      </c>
      <c r="L32" s="2">
        <v>5</v>
      </c>
      <c r="M32" s="16">
        <v>4</v>
      </c>
      <c r="N32" s="16">
        <v>4</v>
      </c>
      <c r="O32" s="16">
        <v>3</v>
      </c>
      <c r="P32" s="16">
        <v>4</v>
      </c>
      <c r="Q32" s="16">
        <v>4</v>
      </c>
      <c r="R32" s="16">
        <v>4</v>
      </c>
      <c r="S32" s="16">
        <v>4</v>
      </c>
      <c r="T32" s="20">
        <f>AVERAGE(D32:S32)</f>
        <v>3.6875</v>
      </c>
    </row>
    <row r="33" spans="2:20">
      <c r="B33" s="11" t="s">
        <v>9</v>
      </c>
      <c r="C33" s="11" t="s">
        <v>15</v>
      </c>
      <c r="D33" s="2">
        <v>4</v>
      </c>
      <c r="E33" s="2">
        <v>2</v>
      </c>
      <c r="F33" s="2">
        <v>3</v>
      </c>
      <c r="G33" s="2">
        <v>2</v>
      </c>
      <c r="H33" s="2">
        <v>4</v>
      </c>
      <c r="I33" s="2">
        <v>3</v>
      </c>
      <c r="J33" s="2">
        <v>5</v>
      </c>
      <c r="K33" s="2">
        <v>3</v>
      </c>
      <c r="L33" s="2">
        <v>5</v>
      </c>
      <c r="M33" s="15">
        <v>4</v>
      </c>
      <c r="N33" s="15">
        <v>4</v>
      </c>
      <c r="O33" s="15">
        <v>3</v>
      </c>
      <c r="P33" s="15">
        <v>4</v>
      </c>
      <c r="Q33" s="15">
        <v>5</v>
      </c>
      <c r="R33" s="15">
        <v>4</v>
      </c>
      <c r="S33" s="15">
        <v>3</v>
      </c>
      <c r="T33" s="20">
        <f t="shared" ref="T33:T37" si="2">AVERAGE(D33:S33)</f>
        <v>3.625</v>
      </c>
    </row>
    <row r="34" spans="2:20">
      <c r="B34" s="11" t="s">
        <v>10</v>
      </c>
      <c r="C34" s="11" t="s">
        <v>16</v>
      </c>
      <c r="D34" s="2">
        <v>4</v>
      </c>
      <c r="E34" s="2">
        <v>3</v>
      </c>
      <c r="F34" s="2">
        <v>5</v>
      </c>
      <c r="G34" s="2">
        <v>2</v>
      </c>
      <c r="H34" s="2">
        <v>4</v>
      </c>
      <c r="I34" s="2">
        <v>4</v>
      </c>
      <c r="J34" s="2">
        <v>4</v>
      </c>
      <c r="K34" s="2">
        <v>4</v>
      </c>
      <c r="L34" s="2">
        <v>5</v>
      </c>
      <c r="M34" s="15">
        <v>4</v>
      </c>
      <c r="N34" s="15">
        <v>5</v>
      </c>
      <c r="O34" s="15">
        <v>5</v>
      </c>
      <c r="P34" s="15">
        <v>5</v>
      </c>
      <c r="Q34" s="15">
        <v>4</v>
      </c>
      <c r="R34" s="15">
        <v>3</v>
      </c>
      <c r="S34" s="15">
        <v>5</v>
      </c>
      <c r="T34" s="20">
        <f t="shared" si="2"/>
        <v>4.125</v>
      </c>
    </row>
    <row r="35" spans="2:20">
      <c r="B35" s="11" t="s">
        <v>11</v>
      </c>
      <c r="C35" s="11" t="s">
        <v>17</v>
      </c>
      <c r="D35" s="2">
        <v>4</v>
      </c>
      <c r="E35" s="2">
        <v>3</v>
      </c>
      <c r="F35" s="2">
        <v>4</v>
      </c>
      <c r="G35" s="2">
        <v>3</v>
      </c>
      <c r="H35" s="2">
        <v>5</v>
      </c>
      <c r="I35" s="2">
        <v>4</v>
      </c>
      <c r="J35" s="2">
        <v>3</v>
      </c>
      <c r="K35" s="2">
        <v>4</v>
      </c>
      <c r="L35" s="2">
        <v>5</v>
      </c>
      <c r="M35" s="15">
        <v>4</v>
      </c>
      <c r="N35" s="15">
        <v>4</v>
      </c>
      <c r="O35" s="15">
        <v>3</v>
      </c>
      <c r="P35" s="15">
        <v>4</v>
      </c>
      <c r="Q35" s="15">
        <v>4</v>
      </c>
      <c r="R35" s="15">
        <v>3</v>
      </c>
      <c r="S35" s="15">
        <v>4</v>
      </c>
      <c r="T35" s="20">
        <f t="shared" si="2"/>
        <v>3.8125</v>
      </c>
    </row>
    <row r="36" spans="2:20">
      <c r="B36" s="11" t="s">
        <v>12</v>
      </c>
      <c r="C36" s="11" t="s">
        <v>18</v>
      </c>
      <c r="D36" s="2">
        <v>3</v>
      </c>
      <c r="E36" s="2">
        <v>3</v>
      </c>
      <c r="F36" s="2">
        <v>5</v>
      </c>
      <c r="G36" s="2">
        <v>3</v>
      </c>
      <c r="H36" s="2">
        <v>5</v>
      </c>
      <c r="I36" s="2">
        <v>4</v>
      </c>
      <c r="J36" s="2">
        <v>3</v>
      </c>
      <c r="K36" s="2">
        <v>3</v>
      </c>
      <c r="L36" s="2">
        <v>4</v>
      </c>
      <c r="M36" s="15">
        <v>4</v>
      </c>
      <c r="N36" s="15">
        <v>4</v>
      </c>
      <c r="O36" s="15">
        <v>3</v>
      </c>
      <c r="P36" s="15">
        <v>3</v>
      </c>
      <c r="Q36" s="15">
        <v>4</v>
      </c>
      <c r="R36" s="15">
        <v>2</v>
      </c>
      <c r="S36" s="15">
        <v>3</v>
      </c>
      <c r="T36" s="20">
        <f t="shared" si="2"/>
        <v>3.5</v>
      </c>
    </row>
    <row r="37" spans="2:20">
      <c r="B37" s="11" t="s">
        <v>13</v>
      </c>
      <c r="C37" s="11" t="s">
        <v>19</v>
      </c>
      <c r="D37" s="2">
        <v>3</v>
      </c>
      <c r="E37" s="2">
        <v>4</v>
      </c>
      <c r="F37" s="2">
        <v>4</v>
      </c>
      <c r="G37" s="2">
        <v>2</v>
      </c>
      <c r="H37" s="2">
        <v>3</v>
      </c>
      <c r="I37" s="2">
        <v>4</v>
      </c>
      <c r="J37" s="2">
        <v>3</v>
      </c>
      <c r="K37" s="2">
        <v>3</v>
      </c>
      <c r="L37" s="2">
        <v>4</v>
      </c>
      <c r="M37" s="15">
        <v>4</v>
      </c>
      <c r="N37" s="15">
        <v>2</v>
      </c>
      <c r="O37" s="15">
        <v>3</v>
      </c>
      <c r="P37" s="15">
        <v>4</v>
      </c>
      <c r="Q37" s="15">
        <v>4</v>
      </c>
      <c r="R37" s="15">
        <v>4</v>
      </c>
      <c r="S37" s="15">
        <v>4</v>
      </c>
      <c r="T37" s="20">
        <f t="shared" si="2"/>
        <v>3.4375</v>
      </c>
    </row>
    <row r="38" spans="2:20">
      <c r="B38" s="17" t="s">
        <v>0</v>
      </c>
      <c r="C38" s="17">
        <v>6</v>
      </c>
      <c r="D38" s="2"/>
      <c r="E38" s="2"/>
      <c r="F38" s="2"/>
      <c r="G38" s="2"/>
      <c r="H38" s="2"/>
      <c r="I38" s="2"/>
      <c r="J38" s="2"/>
      <c r="K38" s="2"/>
      <c r="L38" s="2"/>
      <c r="M38" s="15"/>
      <c r="N38" s="15"/>
      <c r="O38" s="15"/>
      <c r="P38" s="15"/>
      <c r="Q38" s="15"/>
      <c r="R38" s="15"/>
      <c r="S38" s="2"/>
    </row>
    <row r="39" spans="2:20">
      <c r="B39" s="17" t="s">
        <v>1</v>
      </c>
      <c r="C39" s="17">
        <v>5</v>
      </c>
      <c r="D39" s="2"/>
      <c r="E39" s="2"/>
      <c r="F39" s="2"/>
      <c r="G39" s="2"/>
      <c r="H39" s="2"/>
      <c r="I39" s="2"/>
      <c r="J39" s="2"/>
      <c r="K39" s="2"/>
      <c r="L39" s="2"/>
      <c r="M39" s="15"/>
      <c r="N39" s="15"/>
      <c r="O39" s="15"/>
      <c r="P39" s="15"/>
      <c r="Q39" s="15"/>
      <c r="R39" s="15"/>
      <c r="S39" s="2"/>
    </row>
    <row r="40" spans="2:20">
      <c r="B40" s="17" t="s">
        <v>2</v>
      </c>
      <c r="C40" s="17">
        <v>5</v>
      </c>
      <c r="D40" s="2"/>
      <c r="E40" s="2"/>
      <c r="F40" s="2"/>
      <c r="G40" s="2"/>
      <c r="H40" s="2"/>
      <c r="I40" s="2"/>
      <c r="J40" s="2"/>
      <c r="K40" s="2"/>
      <c r="L40" s="2"/>
      <c r="M40" s="15"/>
      <c r="N40" s="15"/>
      <c r="O40" s="15"/>
      <c r="P40" s="15"/>
      <c r="Q40" s="15"/>
      <c r="R40" s="15"/>
      <c r="S40" s="2"/>
    </row>
    <row r="41" spans="2:20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2:20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BERT</vt:lpstr>
      <vt:lpstr>CLIP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2026-04-23T17:45:38Z</dcterms:modified>
</cp:coreProperties>
</file>